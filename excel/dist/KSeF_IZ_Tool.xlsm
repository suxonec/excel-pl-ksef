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8_{DE0C3DFB-8ABA-4575-A4D0-C26A25580B1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ADME" sheetId="1" r:id="rId1"/>
    <sheet name="Config" sheetId="2" r:id="rId2"/>
    <sheet name="1_Detect" sheetId="3" r:id="rId3"/>
    <sheet name="2_Decode" sheetId="4" r:id="rId4"/>
    <sheet name="3_Match" sheetId="5" r:id="rId5"/>
    <sheet name="4_Generate" sheetId="6" r:id="rId6"/>
    <sheet name="5_Lookup" sheetId="7" r:id="rId7"/>
    <sheet name="6_Query" sheetId="8" r:id="rId8"/>
    <sheet name="Log" sheetId="9" r:id="rId9"/>
    <sheet name="_Vectors" sheetId="10" state="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<sst xmlns="http://schemas.openxmlformats.org/spreadsheetml/2006/main" count="289" uniqueCount="142">
  <si>
    <t>Version 0.1.0. Offline modules: M1 Detect, M2 Validate (worksheet functions), M4 Match. API modules (Decode, Generate, Lookup, Query) come in step 6.</t>
  </si>
  <si>
    <t>No secrets live in this workbook. The KSeF token stays in the OS keyring / helper.</t>
  </si>
  <si>
    <t>Buttons (created by macro SetupWorkbook after importing excel/vba/*.bas). API buttons need Config &gt; helper_path; Mac: run scripts/install_mac_helper.sh once.</t>
  </si>
  <si>
    <t>How to use</t>
  </si>
  <si>
    <t>1. 1_Detect: paste statement lines into A2:F (line_id, date, amount, currency, payer, free_text). Click Detect IDs. Results land in H:N as values; lines without a valid IZ / KSeF number turn red.</t>
  </si>
  <si>
    <t>2. 2_Decode: paste IZ into A2 or click 'Take IZ from 1_Detect', then Decode. Results in C:K. Esc cancels a running job.</t>
  </si>
  <si>
    <t>3. 3_Match: paste the ERP open items extract into A2:F. Click Match. Output: H:S.</t>
  </si>
  <si>
    <t>4. Worksheet functions: =IZ_VALID(A2), =KSEF_VALID(A2), =IZ_NORMALISE(A2), =IZ_CRC8(A2), =ID_REASON(A2), =ID_KIND(A2).</t>
  </si>
  <si>
    <t>5. Run self-test after any VBA change: it replays the Python test vectors.</t>
  </si>
  <si>
    <t>6. 4_Generate: invoices in A:F; 'Check (no API)' first, then 'Generate IZ'. 5_Lookup: KSeF numbers in A. 6_Query: dates in B1/B2, own_only in B3.</t>
  </si>
  <si>
    <t>Match statuses: Matched, Matched (no amount), Amount diff, Currency diff, Unmatched, Duplicate in ERP. Invoices in several IZ are judged on the total paid.</t>
  </si>
  <si>
    <t>setting</t>
  </si>
  <si>
    <t>value</t>
  </si>
  <si>
    <t>notes</t>
  </si>
  <si>
    <t>environment</t>
  </si>
  <si>
    <t>TEST</t>
  </si>
  <si>
    <t>TEST / DEMO / PROD. PROD also needs --env prod and confirmation</t>
  </si>
  <si>
    <t>context_nip</t>
  </si>
  <si>
    <t>Synthetic NIP of the TEST context</t>
  </si>
  <si>
    <t>token_source</t>
  </si>
  <si>
    <t>keyring</t>
  </si>
  <si>
    <t>Never put the token in this workbook</t>
  </si>
  <si>
    <t>helper_path</t>
  </si>
  <si>
    <t>ksefiz</t>
  </si>
  <si>
    <t>Full path to the ksefiz executable, e.g. .../.venv/bin/ksefiz</t>
  </si>
  <si>
    <t>profile</t>
  </si>
  <si>
    <t>Stored ksefiz context profile; blank = default (TEST: 'buyer' too)</t>
  </si>
  <si>
    <t>log_folder</t>
  </si>
  <si>
    <t>Absolute folder for audit.jsonl; blank = ~/.ksefiz/logs</t>
  </si>
  <si>
    <t>max_invoices_per_iz</t>
  </si>
  <si>
    <t>Default; effective value from GET /limits/context</t>
  </si>
  <si>
    <t>decode_batch_size</t>
  </si>
  <si>
    <t>API maximum per decode call</t>
  </si>
  <si>
    <t>max_iz_per_invoice</t>
  </si>
  <si>
    <t>Per context</t>
  </si>
  <si>
    <t>query_max_days</t>
  </si>
  <si>
    <t>Period query window</t>
  </si>
  <si>
    <t>budget_left</t>
  </si>
  <si>
    <t>collectiveIdentifier requests left, updated after each API run</t>
  </si>
  <si>
    <t>line_id</t>
  </si>
  <si>
    <t>date</t>
  </si>
  <si>
    <t>amount</t>
  </si>
  <si>
    <t>currency</t>
  </si>
  <si>
    <t>payer</t>
  </si>
  <si>
    <t>free_text</t>
  </si>
  <si>
    <t>kind</t>
  </si>
  <si>
    <t>raw</t>
  </si>
  <si>
    <t>normalised</t>
  </si>
  <si>
    <t>crc_ok</t>
  </si>
  <si>
    <t>valid</t>
  </si>
  <si>
    <t>reason</t>
  </si>
  <si>
    <t>iz_to_decode</t>
  </si>
  <si>
    <t>iz</t>
  </si>
  <si>
    <t>ksef_number</t>
  </si>
  <si>
    <t>description</t>
  </si>
  <si>
    <t>details_hidden</t>
  </si>
  <si>
    <t>status</t>
  </si>
  <si>
    <t>error_code</t>
  </si>
  <si>
    <t>timestamp</t>
  </si>
  <si>
    <t>Calls KSeF through the ksefiz helper (Config &gt; helper_path, environment, profile).</t>
  </si>
  <si>
    <t>doc_no</t>
  </si>
  <si>
    <t>customer</t>
  </si>
  <si>
    <t>due_date</t>
  </si>
  <si>
    <t>paid_amount</t>
  </si>
  <si>
    <t>paid_currency</t>
  </si>
  <si>
    <t>open_amount</t>
  </si>
  <si>
    <t>open_currency</t>
  </si>
  <si>
    <t>diff</t>
  </si>
  <si>
    <t>times_referenced</t>
  </si>
  <si>
    <t>total_paid</t>
  </si>
  <si>
    <t>seller_nip</t>
  </si>
  <si>
    <t>group_key</t>
  </si>
  <si>
    <t>invoice_count</t>
  </si>
  <si>
    <t>created_in_current_context</t>
  </si>
  <si>
    <t>date_created</t>
  </si>
  <si>
    <t>date_created_from</t>
  </si>
  <si>
    <t>date_created_to</t>
  </si>
  <si>
    <t>own_only</t>
  </si>
  <si>
    <t>Ranges over 100 days are split into 100-day windows automatically.</t>
  </si>
  <si>
    <t>user</t>
  </si>
  <si>
    <t>operation</t>
  </si>
  <si>
    <t>request_count</t>
  </si>
  <si>
    <t>input_hash</t>
  </si>
  <si>
    <t>result</t>
  </si>
  <si>
    <t>correlation_id</t>
  </si>
  <si>
    <t>input</t>
  </si>
  <si>
    <t>text</t>
  </si>
  <si>
    <t>found</t>
  </si>
  <si>
    <t>1111111111-IZ202607-65ED02180000-E7</t>
  </si>
  <si>
    <t>IZ</t>
  </si>
  <si>
    <t>Y</t>
  </si>
  <si>
    <t>OK</t>
  </si>
  <si>
    <t>Payment 1111111111-IZ202607-65ED02180000-E7 thanks</t>
  </si>
  <si>
    <t>1111111111-IZ202607-65ED02180000-E7:Y</t>
  </si>
  <si>
    <t>1111111111-iz202607-65ed02180000-e7</t>
  </si>
  <si>
    <t>REF:1111111111-IZ202607-65ED02180000-E7/PLN</t>
  </si>
  <si>
    <t>1111111111IZ20260765ED02180000E7</t>
  </si>
  <si>
    <t>FV1111111111IZ20260765ED02180000E7</t>
  </si>
  <si>
    <t>1111111111 IZ202607 65ED02180000 E7</t>
  </si>
  <si>
    <t>zaplata 1111111111-iz202607-65ed02180000-e7</t>
  </si>
  <si>
    <t xml:space="preserve"> 1111111111-IZ202607-65ED02180000-E7 </t>
  </si>
  <si>
    <t>IZ 1111111111 IZ202607 65ED02180000 E7 end</t>
  </si>
  <si>
    <t>5265877635-20250826-0100001AF629-AF</t>
  </si>
  <si>
    <t>KSEF</t>
  </si>
  <si>
    <t>1111111111-IZ202607-
65ED02180000-E7</t>
  </si>
  <si>
    <t>5265877635-20250826-010000-1AF629-AF</t>
  </si>
  <si>
    <t>1111111111-
   IZ202607-65ED02180000-E7</t>
  </si>
  <si>
    <t>7340009461-IZ202612-0A1B2C3D4E5F-B0</t>
  </si>
  <si>
    <t>11111
11111-IZ202607-65ED02180000-E7</t>
  </si>
  <si>
    <t>7340009461-20261130-00FF00FF00FF-77</t>
  </si>
  <si>
    <t>two: 1111111111-IZ202607-65ED02180000-E7; 5265877635-20250826-0100001AF629-AF</t>
  </si>
  <si>
    <t>1111111111-IZ202607-65ED02180000-E7:Y|5265877635-20250826-0100001AF629-AF:Y</t>
  </si>
  <si>
    <t>1111111111-IZ202607-65ED02180000-E8</t>
  </si>
  <si>
    <t>N</t>
  </si>
  <si>
    <t>crc</t>
  </si>
  <si>
    <t>7340009461-IZ202612-0A1B2C3D4E5F-B0,7340009461-20261130-00FF00FF00FF-77</t>
  </si>
  <si>
    <t>7340009461-IZ202612-0A1B2C3D4E5F-B0:Y|7340009461-20261130-00FF00FF00FF-77:Y</t>
  </si>
  <si>
    <t>5265877635-20250826-0100001AF629-00</t>
  </si>
  <si>
    <t>decoy 1111111111-IZ202607-65ED02180000-E8</t>
  </si>
  <si>
    <t>1111111111-IZ202607-65ED02180000-E8:N</t>
  </si>
  <si>
    <t>0111111111-IZ202607-65ED02180000-E7</t>
  </si>
  <si>
    <t>nip</t>
  </si>
  <si>
    <t>91111111111-IZ202607-65ED02180000-E7</t>
  </si>
  <si>
    <t>1001111111-IZ202607-65ED02180000-E7</t>
  </si>
  <si>
    <t>1111111111-IZ202607-65ED02180000-E7A</t>
  </si>
  <si>
    <t>1111111111-IZ202613-65ED02180000-E7</t>
  </si>
  <si>
    <t>1111111111-IZ202607-65ED02180000-E7PLN</t>
  </si>
  <si>
    <t>1111111111-IZ201907-65ED02180000-E7</t>
  </si>
  <si>
    <t>5265877635202508260100001AF629AF ok</t>
  </si>
  <si>
    <t>5265877635-20250826-0100001AF629-AF:Y</t>
  </si>
  <si>
    <t>5265877635-20251326-0100001AF629-AF</t>
  </si>
  <si>
    <t>PL61109010140000071219812874 no ids</t>
  </si>
  <si>
    <t>5265877635-20250832-0100001AF629-AF</t>
  </si>
  <si>
    <t>FV/2026/10/123 1111111111</t>
  </si>
  <si>
    <t>1111111111-IZ202607-65ED0218000G-E7</t>
  </si>
  <si>
    <t>format</t>
  </si>
  <si>
    <t>1111111111----IZ202607-65ED02180000-E7</t>
  </si>
  <si>
    <t>1111111111-IZ202607-65ED0218000-E7</t>
  </si>
  <si>
    <t>1111111111---IZ202607-65ED02180000-E7</t>
  </si>
  <si>
    <t>1111111111-XX202607-65ED02180000-E7</t>
  </si>
  <si>
    <t>hello world</t>
  </si>
  <si>
    <t>1111111111-IZ202607-65ED02180000-E7X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</si>
</sst>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name val="Calibri"/>
    </font>
    <font>
      <b/>
      <sz val="11"/>
      <color rgb="FFFFFFFF"/>
      <name val="Calibri"/>
    </font>
    <font>
      <i/>
      <sz val="11"/>
      <color rgb="FF7F7F7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7562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49" fontId="0" fillId="0" borderId="0" xfId="0" applyNumberFormat="1"/>
    <xf numFmtId="0" fontId="3" fillId="2" borderId="0" xfId="0" applyFont="1" applyFill="1"/>
    <xf numFmtId="0" fontId="4" fillId="0" borderId="0" xfId="0" applyFont="1"/>
    <xf numFmtId="0" fontId="3" fillId="3" borderId="0" xfId="0" applyFont="1" applyFill="1"/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3">
    <dxf>
      <font>
        <b/>
        <color rgb="FFFFFFFF"/>
      </font>
      <fill>
        <patternFill patternType="solid">
          <bgColor rgb="FF70AD47"/>
        </patternFill>
      </fill>
    </dxf>
    <dxf>
      <font>
        <b/>
        <color rgb="FFFFFFFF"/>
      </font>
      <fill>
        <patternFill patternType="solid">
          <bgColor rgb="FFED7D31"/>
        </patternFill>
      </fill>
    </dxf>
    <dxf>
      <font>
        <b/>
        <color rgb="FFFFFFFF"/>
      </font>
      <fill>
        <patternFill patternType="solid"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457200</xdr:colOff>
          <xdr:row>8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E634E87-7631-1CA8-67FB-1130E5090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self-test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457200</xdr:colOff>
          <xdr:row>10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1944525-683F-D93E-7024-5EAAD6302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 IDs (1_Detect)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457200</xdr:colOff>
          <xdr:row>12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C1C75FE-9E49-4D0B-DD26-66FDA45C6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Match open items (3_Match)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146050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A3496D7-4EB8-70C2-E9C2-2EFA799BE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Decode IZ (2_Decode)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18</xdr:col>
          <xdr:colOff>457200</xdr:colOff>
          <xdr:row>2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FAFBD86-A570-87EA-735F-9B24C0A1A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 IDs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457200</xdr:colOff>
          <xdr:row>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39DD4A1-D725-FF85-BFDD-6BA999271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Take IZ from 1_Detect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15</xdr:col>
          <xdr:colOff>457200</xdr:colOff>
          <xdr:row>4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0712819-8919-77E0-3BC0-385572215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Decode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23</xdr:col>
          <xdr:colOff>457200</xdr:colOff>
          <xdr:row>2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5955F91-C203-2FDA-9C2E-70C59286A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Match open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16</xdr:col>
          <xdr:colOff>457200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1BFFAE5-07BB-1F54-2597-DC6E3B5A7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(no API)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457200</xdr:colOff>
          <xdr:row>4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CDBD7A6-EF81-0E8C-208A-608401517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IZ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12</xdr:col>
          <xdr:colOff>457200</xdr:colOff>
          <xdr:row>2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9FE942E-422C-5C04-0919-8EF69EE23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8</xdr:col>
          <xdr:colOff>457200</xdr:colOff>
          <xdr:row>1</xdr:row>
          <xdr:rowOff>146050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7634331C-03AE-8521-46C5-754822F98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query (KSeF)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tabSelected="1" workbookViewId="0"/>
  </sheetViews>
  <sheetFormatPr defaultRowHeight="14.5" x14ac:dyDescent="0.35"/>
  <cols>
    <col min="1" max="1" width="4" customWidth="1"/>
  </cols>
  <sheetData>
    <row r="1" spans="1:1" ht="21" x14ac:dyDescent="0.5">
      <c r="A1" s="1" t="str">
        <f>"KSeF IZ Tool  |  ENVIRONMENT: "&amp;Config!B2</f>
        <v>KSeF IZ Tool  |  ENVIRONMENT: TEST</v>
      </c>
    </row>
    <row r="3" spans="1:1" x14ac:dyDescent="0.35">
      <c r="A3" t="s">
        <v>0</v>
      </c>
    </row>
    <row r="4" spans="1:1" x14ac:dyDescent="0.35">
      <c r="A4" t="s">
        <v>1</v>
      </c>
    </row>
    <row r="6" spans="1:1" x14ac:dyDescent="0.35">
      <c r="A6" t="s">
        <v>2</v>
      </c>
    </row>
    <row r="15" spans="1:1" x14ac:dyDescent="0.35">
      <c r="A15" s="2" t="s">
        <v>3</v>
      </c>
    </row>
    <row r="16" spans="1:1" x14ac:dyDescent="0.35">
      <c r="A16" t="s">
        <v>4</v>
      </c>
    </row>
    <row r="17" spans="1:1" x14ac:dyDescent="0.35">
      <c r="A17" t="s">
        <v>5</v>
      </c>
    </row>
    <row r="18" spans="1:1" x14ac:dyDescent="0.35">
      <c r="A18" t="s">
        <v>6</v>
      </c>
    </row>
    <row r="19" spans="1:1" x14ac:dyDescent="0.35">
      <c r="A19" t="s">
        <v>7</v>
      </c>
    </row>
    <row r="20" spans="1:1" x14ac:dyDescent="0.35">
      <c r="A20" t="s">
        <v>8</v>
      </c>
    </row>
    <row r="21" spans="1:1" x14ac:dyDescent="0.35">
      <c r="A21" t="s">
        <v>9</v>
      </c>
    </row>
    <row r="23" spans="1:1" x14ac:dyDescent="0.35">
      <c r="A23" t="s">
        <v>10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elfTe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457200</xdr:colOff>
                    <xdr:row>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etect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4</xdr:col>
                    <xdr:colOff>457200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Match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457200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Decode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Config!$B$2="PROD"</xm:f>
            <x14:dxf>
              <font>
                <b/>
                <color rgb="FFFFFFFF"/>
              </font>
              <fill>
                <patternFill patternType="solid">
                  <bgColor rgb="FFC00000"/>
                </patternFill>
              </fill>
            </x14:dxf>
          </x14:cfRule>
          <x14:cfRule type="expression" priority="2" id="{00000000-000E-0000-0000-000002000000}">
            <xm:f>Config!$B$2="DEMO"</xm:f>
            <x14:dxf>
              <font>
                <b/>
                <color rgb="FFFFFFFF"/>
              </font>
              <fill>
                <patternFill patternType="solid">
                  <bgColor rgb="FFED7D31"/>
                </patternFill>
              </fill>
            </x14:dxf>
          </x14:cfRule>
          <x14:cfRule type="expression" priority="3" id="{00000000-000E-0000-0000-000003000000}">
            <xm:f>Config!$B$2="TEST"</xm:f>
            <x14:dxf>
              <font>
                <b/>
                <color rgb="FFFFFFFF"/>
              </font>
              <fill>
                <patternFill patternType="solid">
                  <bgColor rgb="FF70AD47"/>
                </patternFill>
              </fill>
            </x14:dxf>
          </x14:cfRule>
          <xm:sqref>A1:H1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workbookViewId="0"/>
  </sheetViews>
  <sheetFormatPr defaultRowHeight="14.5" x14ac:dyDescent="0.35"/>
  <cols>
    <col min="1" max="1" width="22" customWidth="1"/>
    <col min="2" max="2" width="18" style="3" customWidth="1"/>
    <col min="3" max="3" width="70" customWidth="1"/>
  </cols>
  <sheetData>
    <row r="1" spans="1:3" x14ac:dyDescent="0.35">
      <c r="A1" s="4" t="s">
        <v>11</v>
      </c>
      <c r="B1" s="4" t="s">
        <v>12</v>
      </c>
      <c r="C1" s="4" t="s">
        <v>13</v>
      </c>
    </row>
    <row r="2" spans="1:3" x14ac:dyDescent="0.35">
      <c r="A2" t="s">
        <v>14</v>
      </c>
      <c r="B2" t="s">
        <v>15</v>
      </c>
      <c r="C2" s="5" t="s">
        <v>16</v>
      </c>
    </row>
    <row r="3" spans="1:3" x14ac:dyDescent="0.35">
      <c r="A3" t="s">
        <v>17</v>
      </c>
      <c r="C3" s="5" t="s">
        <v>18</v>
      </c>
    </row>
    <row r="4" spans="1:3" x14ac:dyDescent="0.35">
      <c r="A4" t="s">
        <v>19</v>
      </c>
      <c r="B4" t="s">
        <v>20</v>
      </c>
      <c r="C4" s="5" t="s">
        <v>21</v>
      </c>
    </row>
    <row r="5" spans="1:3" x14ac:dyDescent="0.35">
      <c r="A5" t="s">
        <v>22</v>
      </c>
      <c r="B5" t="s">
        <v>23</v>
      </c>
      <c r="C5" s="5" t="s">
        <v>24</v>
      </c>
    </row>
    <row r="6" spans="1:3" x14ac:dyDescent="0.35">
      <c r="A6" t="s">
        <v>25</v>
      </c>
      <c r="C6" s="5" t="s">
        <v>26</v>
      </c>
    </row>
    <row r="7" spans="1:3" x14ac:dyDescent="0.35">
      <c r="A7" t="s">
        <v>27</v>
      </c>
      <c r="C7" s="5" t="s">
        <v>28</v>
      </c>
    </row>
    <row r="8" spans="1:3" x14ac:dyDescent="0.35">
      <c r="A8" t="s">
        <v>29</v>
      </c>
      <c r="B8">
        <v>500</v>
      </c>
      <c r="C8" s="5" t="s">
        <v>30</v>
      </c>
    </row>
    <row r="9" spans="1:3" x14ac:dyDescent="0.35">
      <c r="A9" t="s">
        <v>31</v>
      </c>
      <c r="B9">
        <v>10</v>
      </c>
      <c r="C9" s="5" t="s">
        <v>32</v>
      </c>
    </row>
    <row r="10" spans="1:3" x14ac:dyDescent="0.35">
      <c r="A10" t="s">
        <v>33</v>
      </c>
      <c r="B10">
        <v>132</v>
      </c>
      <c r="C10" s="5" t="s">
        <v>34</v>
      </c>
    </row>
    <row r="11" spans="1:3" x14ac:dyDescent="0.35">
      <c r="A11" t="s">
        <v>35</v>
      </c>
      <c r="B11">
        <v>100</v>
      </c>
      <c r="C11" s="5" t="s">
        <v>36</v>
      </c>
    </row>
    <row r="12" spans="1:3" x14ac:dyDescent="0.35">
      <c r="A12" t="s">
        <v>37</v>
      </c>
      <c r="C12" s="5" t="s">
        <v>38</v>
      </c>
    </row>
  </sheetData>
  <dataValidations count="1">
    <dataValidation type="list" sqref="B2" xr:uid="{00000000-0002-0000-0100-000000000000}">
      <formula1>"TEST,DEMO,PROD"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style="3" customWidth="1"/>
    <col min="2" max="5" width="12" customWidth="1"/>
    <col min="6" max="6" width="80" style="3" customWidth="1"/>
    <col min="8" max="9" width="12" style="3" customWidth="1"/>
    <col min="10" max="10" width="40" style="3" customWidth="1"/>
    <col min="11" max="11" width="38" style="3" customWidth="1"/>
    <col min="12" max="14" width="12" style="3" customWidth="1"/>
  </cols>
  <sheetData>
    <row r="1" spans="1:14" x14ac:dyDescent="0.35">
      <c r="A1" s="4" t="s">
        <v>39</v>
      </c>
      <c r="B1" s="4" t="s">
        <v>40</v>
      </c>
      <c r="C1" s="4" t="s">
        <v>41</v>
      </c>
      <c r="D1" s="4" t="s">
        <v>42</v>
      </c>
      <c r="E1" s="4" t="s">
        <v>43</v>
      </c>
      <c r="F1" s="4" t="s">
        <v>44</v>
      </c>
      <c r="H1" s="6" t="s">
        <v>39</v>
      </c>
      <c r="I1" s="6" t="s">
        <v>45</v>
      </c>
      <c r="J1" s="6" t="s">
        <v>46</v>
      </c>
      <c r="K1" s="6" t="s">
        <v>47</v>
      </c>
      <c r="L1" s="6" t="s">
        <v>48</v>
      </c>
      <c r="M1" s="6" t="s">
        <v>49</v>
      </c>
      <c r="N1" s="6" t="s">
        <v>50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Detect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18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38" style="3" customWidth="1"/>
    <col min="3" max="4" width="38" style="3" customWidth="1"/>
    <col min="5" max="6" width="12" customWidth="1"/>
    <col min="7" max="7" width="30" customWidth="1"/>
    <col min="8" max="8" width="16" customWidth="1"/>
    <col min="9" max="11" width="12" customWidth="1"/>
  </cols>
  <sheetData>
    <row r="1" spans="1:13" x14ac:dyDescent="0.35">
      <c r="A1" s="4" t="s">
        <v>51</v>
      </c>
      <c r="C1" s="6" t="s">
        <v>52</v>
      </c>
      <c r="D1" s="6" t="s">
        <v>53</v>
      </c>
      <c r="E1" s="6" t="s">
        <v>41</v>
      </c>
      <c r="F1" s="6" t="s">
        <v>42</v>
      </c>
      <c r="G1" s="6" t="s">
        <v>54</v>
      </c>
      <c r="H1" s="6" t="s">
        <v>55</v>
      </c>
      <c r="I1" s="6" t="s">
        <v>56</v>
      </c>
      <c r="J1" s="6" t="s">
        <v>57</v>
      </c>
      <c r="K1" s="6" t="s">
        <v>58</v>
      </c>
    </row>
    <row r="6" spans="1:13" x14ac:dyDescent="0.35">
      <c r="M6" s="5" t="s">
        <v>59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akeIzFromDetec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Decode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15</xdr:col>
                    <xdr:colOff>457200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style="3" customWidth="1"/>
    <col min="2" max="2" width="12" customWidth="1"/>
    <col min="3" max="3" width="38" style="3" customWidth="1"/>
    <col min="4" max="6" width="12" customWidth="1"/>
    <col min="8" max="9" width="38" style="3" customWidth="1"/>
    <col min="10" max="10" width="13" customWidth="1"/>
    <col min="11" max="11" width="15" customWidth="1"/>
    <col min="12" max="13" width="12" customWidth="1"/>
    <col min="14" max="14" width="13" customWidth="1"/>
    <col min="15" max="15" width="15" customWidth="1"/>
    <col min="16" max="16" width="12" customWidth="1"/>
    <col min="17" max="17" width="18" customWidth="1"/>
    <col min="18" max="18" width="12" customWidth="1"/>
    <col min="19" max="19" width="20" customWidth="1"/>
  </cols>
  <sheetData>
    <row r="1" spans="1:19" x14ac:dyDescent="0.35">
      <c r="A1" s="4" t="s">
        <v>60</v>
      </c>
      <c r="B1" s="4" t="s">
        <v>61</v>
      </c>
      <c r="C1" s="4" t="s">
        <v>53</v>
      </c>
      <c r="D1" s="4" t="s">
        <v>41</v>
      </c>
      <c r="E1" s="4" t="s">
        <v>42</v>
      </c>
      <c r="F1" s="4" t="s">
        <v>62</v>
      </c>
      <c r="H1" s="6" t="s">
        <v>52</v>
      </c>
      <c r="I1" s="6" t="s">
        <v>53</v>
      </c>
      <c r="J1" s="6" t="s">
        <v>63</v>
      </c>
      <c r="K1" s="6" t="s">
        <v>64</v>
      </c>
      <c r="L1" s="6" t="s">
        <v>60</v>
      </c>
      <c r="M1" s="6" t="s">
        <v>61</v>
      </c>
      <c r="N1" s="6" t="s">
        <v>65</v>
      </c>
      <c r="O1" s="6" t="s">
        <v>66</v>
      </c>
      <c r="P1" s="6" t="s">
        <v>67</v>
      </c>
      <c r="Q1" s="6" t="s">
        <v>68</v>
      </c>
      <c r="R1" s="6" t="s">
        <v>69</v>
      </c>
      <c r="S1" s="6" t="s">
        <v>56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Match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23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6"/>
  <sheetViews>
    <sheetView workbookViewId="0"/>
  </sheetViews>
  <sheetFormatPr defaultRowHeight="14.5" x14ac:dyDescent="0.35"/>
  <cols>
    <col min="1" max="1" width="12" style="3" customWidth="1"/>
    <col min="2" max="2" width="38" style="3" customWidth="1"/>
    <col min="3" max="4" width="12" customWidth="1"/>
    <col min="5" max="5" width="13" customWidth="1"/>
    <col min="6" max="6" width="12" customWidth="1"/>
    <col min="8" max="8" width="12" customWidth="1"/>
    <col min="9" max="9" width="38" style="3" customWidth="1"/>
    <col min="10" max="10" width="15" customWidth="1"/>
    <col min="11" max="12" width="12" customWidth="1"/>
  </cols>
  <sheetData>
    <row r="1" spans="1:14" x14ac:dyDescent="0.35">
      <c r="A1" s="4" t="s">
        <v>70</v>
      </c>
      <c r="B1" s="4" t="s">
        <v>53</v>
      </c>
      <c r="C1" s="4" t="s">
        <v>41</v>
      </c>
      <c r="D1" s="4" t="s">
        <v>42</v>
      </c>
      <c r="E1" s="4" t="s">
        <v>54</v>
      </c>
      <c r="F1" s="4" t="s">
        <v>71</v>
      </c>
      <c r="H1" s="6" t="s">
        <v>71</v>
      </c>
      <c r="I1" s="6" t="s">
        <v>52</v>
      </c>
      <c r="J1" s="6" t="s">
        <v>72</v>
      </c>
      <c r="K1" s="6" t="s">
        <v>56</v>
      </c>
      <c r="L1" s="6" t="s">
        <v>57</v>
      </c>
    </row>
    <row r="6" spans="1:14" x14ac:dyDescent="0.35">
      <c r="N6" s="5" t="s">
        <v>59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GenerateCheck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16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unGenerat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457200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4"/>
  <sheetViews>
    <sheetView workbookViewId="0"/>
  </sheetViews>
  <sheetFormatPr defaultRowHeight="14.5" x14ac:dyDescent="0.35"/>
  <cols>
    <col min="1" max="1" width="38" style="3" customWidth="1"/>
    <col min="3" max="4" width="38" style="3" customWidth="1"/>
    <col min="5" max="5" width="28" customWidth="1"/>
    <col min="6" max="6" width="14" customWidth="1"/>
    <col min="7" max="8" width="12" customWidth="1"/>
  </cols>
  <sheetData>
    <row r="1" spans="1:10" x14ac:dyDescent="0.35">
      <c r="A1" s="4" t="s">
        <v>53</v>
      </c>
      <c r="C1" s="6" t="s">
        <v>53</v>
      </c>
      <c r="D1" s="6" t="s">
        <v>52</v>
      </c>
      <c r="E1" s="6" t="s">
        <v>73</v>
      </c>
      <c r="F1" s="6" t="s">
        <v>74</v>
      </c>
      <c r="G1" s="6" t="s">
        <v>56</v>
      </c>
      <c r="H1" s="6" t="s">
        <v>57</v>
      </c>
    </row>
    <row r="4" spans="1:10" x14ac:dyDescent="0.35">
      <c r="J4" s="5" t="s">
        <v>59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Lookup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5"/>
  <sheetViews>
    <sheetView workbookViewId="0"/>
  </sheetViews>
  <sheetFormatPr defaultRowHeight="14.5" x14ac:dyDescent="0.35"/>
  <cols>
    <col min="1" max="1" width="38" customWidth="1"/>
    <col min="2" max="2" width="22" customWidth="1"/>
    <col min="3" max="3" width="14" customWidth="1"/>
    <col min="4" max="4" width="26" customWidth="1"/>
  </cols>
  <sheetData>
    <row r="1" spans="1:6" x14ac:dyDescent="0.35">
      <c r="A1" t="s">
        <v>75</v>
      </c>
    </row>
    <row r="2" spans="1:6" x14ac:dyDescent="0.35">
      <c r="A2" t="s">
        <v>76</v>
      </c>
    </row>
    <row r="3" spans="1:6" x14ac:dyDescent="0.35">
      <c r="A3" t="s">
        <v>77</v>
      </c>
      <c r="B3" t="b">
        <v>0</v>
      </c>
    </row>
    <row r="4" spans="1:6" x14ac:dyDescent="0.35">
      <c r="A4" s="5" t="s">
        <v>78</v>
      </c>
      <c r="F4" s="5" t="s">
        <v>59</v>
      </c>
    </row>
    <row r="5" spans="1:6" x14ac:dyDescent="0.35">
      <c r="A5" s="6" t="s">
        <v>52</v>
      </c>
      <c r="B5" s="6" t="s">
        <v>74</v>
      </c>
      <c r="C5" s="6" t="s">
        <v>72</v>
      </c>
      <c r="D5" s="6" t="s">
        <v>73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Quer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8</xdr:col>
                    <xdr:colOff>457200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0" customWidth="1"/>
    <col min="2" max="2" width="12" customWidth="1"/>
    <col min="3" max="3" width="13" customWidth="1"/>
    <col min="4" max="4" width="12" customWidth="1"/>
    <col min="5" max="5" width="15" customWidth="1"/>
    <col min="6" max="6" width="12" customWidth="1"/>
    <col min="7" max="7" width="60" customWidth="1"/>
    <col min="8" max="8" width="12" customWidth="1"/>
    <col min="9" max="9" width="16" customWidth="1"/>
  </cols>
  <sheetData>
    <row r="1" spans="1:9" x14ac:dyDescent="0.35">
      <c r="A1" s="4" t="s">
        <v>58</v>
      </c>
      <c r="B1" s="4" t="s">
        <v>79</v>
      </c>
      <c r="C1" s="4" t="s">
        <v>14</v>
      </c>
      <c r="D1" s="4" t="s">
        <v>80</v>
      </c>
      <c r="E1" s="4" t="s">
        <v>81</v>
      </c>
      <c r="F1" s="4" t="s">
        <v>82</v>
      </c>
      <c r="G1" s="4" t="s">
        <v>83</v>
      </c>
      <c r="H1" s="4" t="s">
        <v>57</v>
      </c>
      <c r="I1" s="4" t="s">
        <v>84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24"/>
  <sheetViews>
    <sheetView workbookViewId="0"/>
  </sheetViews>
  <sheetFormatPr defaultRowHeight="14.5" x14ac:dyDescent="0.35"/>
  <cols>
    <col min="1" max="6" width="12" style="3" customWidth="1"/>
    <col min="8" max="9" width="12" style="3" customWidth="1"/>
  </cols>
  <sheetData>
    <row r="1" spans="1:11" x14ac:dyDescent="0.35">
      <c r="A1" s="7" t="s">
        <v>85</v>
      </c>
      <c r="B1" s="4" t="s">
        <v>45</v>
      </c>
      <c r="C1" s="4" t="s">
        <v>47</v>
      </c>
      <c r="D1" s="4" t="s">
        <v>48</v>
      </c>
      <c r="E1" s="4" t="s">
        <v>49</v>
      </c>
      <c r="F1" s="4" t="s">
        <v>50</v>
      </c>
      <c r="H1" s="7" t="s">
        <v>86</v>
      </c>
      <c r="I1" s="4" t="s">
        <v>87</v>
      </c>
      <c r="K1">
        <v>23</v>
      </c>
    </row>
    <row r="2" spans="1:11" ht="72.5" x14ac:dyDescent="0.35">
      <c r="A2" s="8" t="s">
        <v>88</v>
      </c>
      <c r="B2" t="s">
        <v>89</v>
      </c>
      <c r="C2" t="s">
        <v>88</v>
      </c>
      <c r="D2" t="s">
        <v>90</v>
      </c>
      <c r="E2" t="s">
        <v>90</v>
      </c>
      <c r="F2" t="s">
        <v>91</v>
      </c>
      <c r="H2" s="8" t="s">
        <v>92</v>
      </c>
      <c r="I2" t="s">
        <v>93</v>
      </c>
      <c r="K2">
        <v>19</v>
      </c>
    </row>
    <row r="3" spans="1:11" ht="58" x14ac:dyDescent="0.35">
      <c r="A3" s="8" t="s">
        <v>94</v>
      </c>
      <c r="B3" t="s">
        <v>89</v>
      </c>
      <c r="C3" t="s">
        <v>88</v>
      </c>
      <c r="D3" t="s">
        <v>90</v>
      </c>
      <c r="E3" t="s">
        <v>90</v>
      </c>
      <c r="F3" t="s">
        <v>91</v>
      </c>
      <c r="H3" s="8" t="s">
        <v>95</v>
      </c>
      <c r="I3" t="s">
        <v>93</v>
      </c>
    </row>
    <row r="4" spans="1:11" ht="58" x14ac:dyDescent="0.35">
      <c r="A4" s="8" t="s">
        <v>96</v>
      </c>
      <c r="B4" t="s">
        <v>89</v>
      </c>
      <c r="C4" t="s">
        <v>88</v>
      </c>
      <c r="D4" t="s">
        <v>90</v>
      </c>
      <c r="E4" t="s">
        <v>90</v>
      </c>
      <c r="F4" t="s">
        <v>91</v>
      </c>
      <c r="H4" s="8" t="s">
        <v>97</v>
      </c>
      <c r="I4" t="s">
        <v>93</v>
      </c>
    </row>
    <row r="5" spans="1:11" ht="72.5" x14ac:dyDescent="0.35">
      <c r="A5" s="8" t="s">
        <v>98</v>
      </c>
      <c r="B5" t="s">
        <v>89</v>
      </c>
      <c r="C5" t="s">
        <v>88</v>
      </c>
      <c r="D5" t="s">
        <v>90</v>
      </c>
      <c r="E5" t="s">
        <v>90</v>
      </c>
      <c r="F5" t="s">
        <v>91</v>
      </c>
      <c r="H5" s="8" t="s">
        <v>99</v>
      </c>
      <c r="I5" t="s">
        <v>93</v>
      </c>
    </row>
    <row r="6" spans="1:11" ht="72.5" x14ac:dyDescent="0.35">
      <c r="A6" s="8" t="s">
        <v>100</v>
      </c>
      <c r="B6" t="s">
        <v>89</v>
      </c>
      <c r="C6" t="s">
        <v>88</v>
      </c>
      <c r="D6" t="s">
        <v>90</v>
      </c>
      <c r="E6" t="s">
        <v>90</v>
      </c>
      <c r="F6" t="s">
        <v>91</v>
      </c>
      <c r="H6" s="8" t="s">
        <v>101</v>
      </c>
      <c r="I6" t="s">
        <v>93</v>
      </c>
    </row>
    <row r="7" spans="1:11" ht="58" x14ac:dyDescent="0.35">
      <c r="A7" s="8" t="s">
        <v>102</v>
      </c>
      <c r="B7" t="s">
        <v>103</v>
      </c>
      <c r="C7" t="s">
        <v>102</v>
      </c>
      <c r="D7" t="s">
        <v>90</v>
      </c>
      <c r="E7" t="s">
        <v>90</v>
      </c>
      <c r="F7" t="s">
        <v>91</v>
      </c>
      <c r="H7" s="8" t="s">
        <v>104</v>
      </c>
      <c r="I7" t="s">
        <v>93</v>
      </c>
    </row>
    <row r="8" spans="1:11" ht="58" x14ac:dyDescent="0.35">
      <c r="A8" s="8" t="s">
        <v>105</v>
      </c>
      <c r="B8" t="s">
        <v>103</v>
      </c>
      <c r="C8" t="s">
        <v>102</v>
      </c>
      <c r="D8" t="s">
        <v>90</v>
      </c>
      <c r="E8" t="s">
        <v>90</v>
      </c>
      <c r="F8" t="s">
        <v>91</v>
      </c>
      <c r="H8" s="8" t="s">
        <v>106</v>
      </c>
      <c r="I8" t="s">
        <v>93</v>
      </c>
    </row>
    <row r="9" spans="1:11" ht="72.5" x14ac:dyDescent="0.35">
      <c r="A9" s="8" t="s">
        <v>107</v>
      </c>
      <c r="B9" t="s">
        <v>89</v>
      </c>
      <c r="C9" t="s">
        <v>107</v>
      </c>
      <c r="D9" t="s">
        <v>90</v>
      </c>
      <c r="E9" t="s">
        <v>90</v>
      </c>
      <c r="F9" t="s">
        <v>91</v>
      </c>
      <c r="H9" s="8" t="s">
        <v>108</v>
      </c>
      <c r="I9" t="s">
        <v>93</v>
      </c>
    </row>
    <row r="10" spans="1:11" ht="130.5" x14ac:dyDescent="0.35">
      <c r="A10" s="8" t="s">
        <v>109</v>
      </c>
      <c r="B10" t="s">
        <v>103</v>
      </c>
      <c r="C10" t="s">
        <v>109</v>
      </c>
      <c r="D10" t="s">
        <v>90</v>
      </c>
      <c r="E10" t="s">
        <v>90</v>
      </c>
      <c r="F10" t="s">
        <v>91</v>
      </c>
      <c r="H10" s="8" t="s">
        <v>110</v>
      </c>
      <c r="I10" t="s">
        <v>111</v>
      </c>
    </row>
    <row r="11" spans="1:11" ht="116" x14ac:dyDescent="0.35">
      <c r="A11" s="8" t="s">
        <v>112</v>
      </c>
      <c r="B11" t="s">
        <v>89</v>
      </c>
      <c r="C11" t="s">
        <v>112</v>
      </c>
      <c r="D11" t="s">
        <v>113</v>
      </c>
      <c r="E11" t="s">
        <v>113</v>
      </c>
      <c r="F11" t="s">
        <v>114</v>
      </c>
      <c r="H11" s="8" t="s">
        <v>115</v>
      </c>
      <c r="I11" t="s">
        <v>116</v>
      </c>
    </row>
    <row r="12" spans="1:11" ht="72.5" x14ac:dyDescent="0.35">
      <c r="A12" s="8" t="s">
        <v>117</v>
      </c>
      <c r="B12" t="s">
        <v>103</v>
      </c>
      <c r="C12" t="s">
        <v>117</v>
      </c>
      <c r="D12" t="s">
        <v>113</v>
      </c>
      <c r="E12" t="s">
        <v>113</v>
      </c>
      <c r="F12" t="s">
        <v>114</v>
      </c>
      <c r="H12" s="8" t="s">
        <v>118</v>
      </c>
      <c r="I12" t="s">
        <v>119</v>
      </c>
    </row>
    <row r="13" spans="1:11" ht="58" x14ac:dyDescent="0.35">
      <c r="A13" s="8" t="s">
        <v>120</v>
      </c>
      <c r="B13" t="s">
        <v>89</v>
      </c>
      <c r="C13" t="s">
        <v>120</v>
      </c>
      <c r="D13" t="s">
        <v>113</v>
      </c>
      <c r="E13" t="s">
        <v>113</v>
      </c>
      <c r="F13" t="s">
        <v>121</v>
      </c>
      <c r="H13" s="8" t="s">
        <v>122</v>
      </c>
    </row>
    <row r="14" spans="1:11" ht="58" x14ac:dyDescent="0.35">
      <c r="A14" s="8" t="s">
        <v>123</v>
      </c>
      <c r="B14" t="s">
        <v>89</v>
      </c>
      <c r="C14" t="s">
        <v>123</v>
      </c>
      <c r="D14" t="s">
        <v>113</v>
      </c>
      <c r="E14" t="s">
        <v>113</v>
      </c>
      <c r="F14" t="s">
        <v>121</v>
      </c>
      <c r="H14" s="8" t="s">
        <v>124</v>
      </c>
    </row>
    <row r="15" spans="1:11" ht="58" x14ac:dyDescent="0.35">
      <c r="A15" s="8" t="s">
        <v>125</v>
      </c>
      <c r="B15" t="s">
        <v>89</v>
      </c>
      <c r="C15" t="s">
        <v>125</v>
      </c>
      <c r="D15" t="s">
        <v>113</v>
      </c>
      <c r="E15" t="s">
        <v>113</v>
      </c>
      <c r="F15" t="s">
        <v>40</v>
      </c>
      <c r="H15" s="8" t="s">
        <v>126</v>
      </c>
      <c r="I15" t="s">
        <v>93</v>
      </c>
    </row>
    <row r="16" spans="1:11" ht="58" x14ac:dyDescent="0.35">
      <c r="A16" s="8" t="s">
        <v>127</v>
      </c>
      <c r="B16" t="s">
        <v>89</v>
      </c>
      <c r="C16" t="s">
        <v>127</v>
      </c>
      <c r="D16" t="s">
        <v>113</v>
      </c>
      <c r="E16" t="s">
        <v>113</v>
      </c>
      <c r="F16" t="s">
        <v>40</v>
      </c>
      <c r="H16" s="8" t="s">
        <v>128</v>
      </c>
      <c r="I16" t="s">
        <v>129</v>
      </c>
    </row>
    <row r="17" spans="1:9" ht="58" x14ac:dyDescent="0.35">
      <c r="A17" s="8" t="s">
        <v>130</v>
      </c>
      <c r="B17" t="s">
        <v>103</v>
      </c>
      <c r="C17" t="s">
        <v>130</v>
      </c>
      <c r="D17" t="s">
        <v>113</v>
      </c>
      <c r="E17" t="s">
        <v>113</v>
      </c>
      <c r="F17" t="s">
        <v>40</v>
      </c>
      <c r="H17" s="8" t="s">
        <v>131</v>
      </c>
    </row>
    <row r="18" spans="1:9" ht="58" x14ac:dyDescent="0.35">
      <c r="A18" s="8" t="s">
        <v>132</v>
      </c>
      <c r="B18" t="s">
        <v>103</v>
      </c>
      <c r="C18" t="s">
        <v>132</v>
      </c>
      <c r="D18" t="s">
        <v>113</v>
      </c>
      <c r="E18" t="s">
        <v>113</v>
      </c>
      <c r="F18" t="s">
        <v>40</v>
      </c>
      <c r="H18" s="8" t="s">
        <v>133</v>
      </c>
    </row>
    <row r="19" spans="1:9" ht="58" x14ac:dyDescent="0.35">
      <c r="A19" s="8" t="s">
        <v>134</v>
      </c>
      <c r="B19" t="s">
        <v>89</v>
      </c>
      <c r="C19" t="s">
        <v>134</v>
      </c>
      <c r="D19" t="s">
        <v>113</v>
      </c>
      <c r="E19" t="s">
        <v>113</v>
      </c>
      <c r="F19" t="s">
        <v>135</v>
      </c>
      <c r="H19" s="8" t="s">
        <v>136</v>
      </c>
    </row>
    <row r="20" spans="1:9" ht="58" x14ac:dyDescent="0.35">
      <c r="A20" s="8" t="s">
        <v>137</v>
      </c>
      <c r="D20" t="s">
        <v>113</v>
      </c>
      <c r="E20" t="s">
        <v>113</v>
      </c>
      <c r="F20" t="s">
        <v>135</v>
      </c>
      <c r="H20" s="8" t="s">
        <v>138</v>
      </c>
      <c r="I20" t="s">
        <v>93</v>
      </c>
    </row>
    <row r="21" spans="1:9" ht="58" x14ac:dyDescent="0.35">
      <c r="A21" s="8" t="s">
        <v>139</v>
      </c>
      <c r="B21" t="s">
        <v>103</v>
      </c>
      <c r="C21" t="s">
        <v>139</v>
      </c>
      <c r="D21" t="s">
        <v>113</v>
      </c>
      <c r="E21" t="s">
        <v>113</v>
      </c>
      <c r="F21" t="s">
        <v>135</v>
      </c>
      <c r="H21" s="8"/>
    </row>
    <row r="22" spans="1:9" x14ac:dyDescent="0.35">
      <c r="A22" s="8"/>
      <c r="D22" t="s">
        <v>113</v>
      </c>
      <c r="E22" t="s">
        <v>113</v>
      </c>
      <c r="F22" t="s">
        <v>135</v>
      </c>
      <c r="H22" s="8"/>
    </row>
    <row r="23" spans="1:9" x14ac:dyDescent="0.35">
      <c r="A23" s="8" t="s">
        <v>140</v>
      </c>
      <c r="D23" t="s">
        <v>113</v>
      </c>
      <c r="E23" t="s">
        <v>113</v>
      </c>
      <c r="F23" t="s">
        <v>135</v>
      </c>
      <c r="H23" s="8"/>
    </row>
    <row r="24" spans="1:9" ht="58" x14ac:dyDescent="0.35">
      <c r="A24" s="8" t="s">
        <v>141</v>
      </c>
      <c r="D24" t="s">
        <v>113</v>
      </c>
      <c r="E24" t="s">
        <v>113</v>
      </c>
      <c r="F24" t="s">
        <v>135</v>
      </c>
      <c r="H24" s="8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README</vt:lpstr>
      <vt:lpstr>Config</vt:lpstr>
      <vt:lpstr>1_Detect</vt:lpstr>
      <vt:lpstr>2_Decode</vt:lpstr>
      <vt:lpstr>3_Match</vt:lpstr>
      <vt:lpstr>4_Generate</vt:lpstr>
      <vt:lpstr>5_Lookup</vt:lpstr>
      <vt:lpstr>6_Query</vt:lpstr>
      <vt:lpstr>Log</vt:lpstr>
      <vt:lpstr>_Vectors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ksefiz</dc:creator>
  <cp:lastModifiedBy>ksefiz</cp:lastModifiedBy>
  <dcterms:created xsi:type="dcterms:W3CDTF">2026-01-01T00:00:00Z</dcterms:created>
  <dcterms:modified xsi:type="dcterms:W3CDTF">2026-10-25T13:37:30Z</dcterms:modified>
</cp:coreProperties>
</file>